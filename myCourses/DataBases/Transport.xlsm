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BUSINESS\ЭТО МОЙ САЙТ\ORDER\ООО\Учёт\Отдел кадров\3) Обучение\~Мотояма Д.Х.~\IT\Терминал\GitHub\Course-at-GB\myCourses\DataBases\"/>
    </mc:Choice>
  </mc:AlternateContent>
  <xr:revisionPtr revIDLastSave="0" documentId="13_ncr:1_{5CD0C00C-E826-45F5-A659-E529677F186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Справочник" sheetId="1" r:id="rId1"/>
    <sheet name="Сводная" sheetId="7" r:id="rId2"/>
    <sheet name="Продажи" sheetId="2" r:id="rId3"/>
    <sheet name="Форма ввода" sheetId="3" r:id="rId4"/>
    <sheet name="Счёт" sheetId="8" r:id="rId5"/>
  </sheets>
  <definedNames>
    <definedName name="_xlcn.WorksheetConnection_db2.xlsmКлиенты" hidden="1">Клиенты[]</definedName>
    <definedName name="_xlcn.WorksheetConnection_db2.xlsmПрайс" hidden="1">Прайс[]</definedName>
    <definedName name="_xlcn.WorksheetConnection_db2.xlsmПродажи" hidden="1">Продажи[]</definedName>
    <definedName name="_xlnm.Print_Area" localSheetId="4">Счёт!$A$1:$F$15</definedName>
  </definedName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Продажи" name="Продажи" connection="WorksheetConnection_db2.xlsm!Продажи"/>
          <x15:modelTable id="Прайс" name="Прайс" connection="WorksheetConnection_db2.xlsm!Прайс"/>
          <x15:modelTable id="Клиенты" name="Клиенты" connection="WorksheetConnection_db2.xlsm!Клиенты"/>
        </x15:modelTables>
        <x15:modelRelationships>
          <x15:modelRelationship fromTable="Продажи" fromColumn="Товар" toTable="Прайс" toColumn="Наименование"/>
          <x15:modelRelationship fromTable="Продажи" fromColumn="Клиент" toTable="Клиенты" toColumn="Клиент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8" l="1"/>
  <c r="D11" i="8"/>
  <c r="B11" i="8"/>
  <c r="C4" i="8"/>
  <c r="C6" i="8" s="1"/>
  <c r="E2" i="8"/>
  <c r="C8" i="8" l="1"/>
  <c r="B11" i="3"/>
  <c r="E20" i="3" l="1"/>
  <c r="C20" i="3"/>
  <c r="B20" i="3"/>
  <c r="B13" i="3"/>
  <c r="D20" i="3" s="1"/>
  <c r="B3" i="3"/>
  <c r="A20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db2.xlsm!Клиенты" type="102" refreshedVersion="6" minRefreshableVersion="5">
    <extLst>
      <ext xmlns:x15="http://schemas.microsoft.com/office/spreadsheetml/2010/11/main" uri="{DE250136-89BD-433C-8126-D09CA5730AF9}">
        <x15:connection id="Клиенты">
          <x15:rangePr sourceName="_xlcn.WorksheetConnection_db2.xlsmКлиенты"/>
        </x15:connection>
      </ext>
    </extLst>
  </connection>
  <connection id="3" xr16:uid="{00000000-0015-0000-FFFF-FFFF02000000}" name="WorksheetConnection_db2.xlsm!Прайс" type="102" refreshedVersion="6" minRefreshableVersion="5">
    <extLst>
      <ext xmlns:x15="http://schemas.microsoft.com/office/spreadsheetml/2010/11/main" uri="{DE250136-89BD-433C-8126-D09CA5730AF9}">
        <x15:connection id="Прайс">
          <x15:rangePr sourceName="_xlcn.WorksheetConnection_db2.xlsmПрайс"/>
        </x15:connection>
      </ext>
    </extLst>
  </connection>
  <connection id="4" xr16:uid="{00000000-0015-0000-FFFF-FFFF03000000}" name="WorksheetConnection_db2.xlsm!Продажи" type="102" refreshedVersion="6" minRefreshableVersion="5">
    <extLst>
      <ext xmlns:x15="http://schemas.microsoft.com/office/spreadsheetml/2010/11/main" uri="{DE250136-89BD-433C-8126-D09CA5730AF9}">
        <x15:connection id="Продажи">
          <x15:rangePr sourceName="_xlcn.WorksheetConnection_db2.xlsmПродажи"/>
        </x15:connection>
      </ext>
    </extLst>
  </connection>
</connections>
</file>

<file path=xl/sharedStrings.xml><?xml version="1.0" encoding="utf-8"?>
<sst xmlns="http://schemas.openxmlformats.org/spreadsheetml/2006/main" count="302" uniqueCount="174">
  <si>
    <t>Наименование</t>
  </si>
  <si>
    <t>Цена</t>
  </si>
  <si>
    <t>Город</t>
  </si>
  <si>
    <t>Регион</t>
  </si>
  <si>
    <t>Москва</t>
  </si>
  <si>
    <t>Брянск</t>
  </si>
  <si>
    <t>Калуга</t>
  </si>
  <si>
    <t>Рязань</t>
  </si>
  <si>
    <t>Ярославль</t>
  </si>
  <si>
    <t>Центр</t>
  </si>
  <si>
    <t>Север</t>
  </si>
  <si>
    <t>Архангельск</t>
  </si>
  <si>
    <t>Вологда</t>
  </si>
  <si>
    <t>Санкт-Петербург</t>
  </si>
  <si>
    <t>Мурманск</t>
  </si>
  <si>
    <t>Юг</t>
  </si>
  <si>
    <t>Ставрополь</t>
  </si>
  <si>
    <t>Восток</t>
  </si>
  <si>
    <t>Иркутск</t>
  </si>
  <si>
    <t>Кемерово</t>
  </si>
  <si>
    <t>Новосибирск</t>
  </si>
  <si>
    <t>Омск</t>
  </si>
  <si>
    <t>Владивосток</t>
  </si>
  <si>
    <t>Чита</t>
  </si>
  <si>
    <t>Красноярск</t>
  </si>
  <si>
    <t>Самара</t>
  </si>
  <si>
    <t>Новгород</t>
  </si>
  <si>
    <t>Ульяновск</t>
  </si>
  <si>
    <t>Курган</t>
  </si>
  <si>
    <t>Свердловск</t>
  </si>
  <si>
    <t>Тюмень</t>
  </si>
  <si>
    <t>Челябинск</t>
  </si>
  <si>
    <t>Краснодар</t>
  </si>
  <si>
    <t>Астрахань</t>
  </si>
  <si>
    <t>Волгоград</t>
  </si>
  <si>
    <t>Ростов-на-Дону</t>
  </si>
  <si>
    <t>Владикавказ</t>
  </si>
  <si>
    <t>Дата</t>
  </si>
  <si>
    <t>Товар</t>
  </si>
  <si>
    <t>Количество</t>
  </si>
  <si>
    <t>Кол-во</t>
  </si>
  <si>
    <t>Стоимость</t>
  </si>
  <si>
    <t>Клиент</t>
  </si>
  <si>
    <t>Иванов</t>
  </si>
  <si>
    <t>Названия строк</t>
  </si>
  <si>
    <t>Общий итог</t>
  </si>
  <si>
    <t>Названия столбцов</t>
  </si>
  <si>
    <t>от</t>
  </si>
  <si>
    <t>Город:</t>
  </si>
  <si>
    <t>Заказчик:</t>
  </si>
  <si>
    <t>Транспорт_1</t>
  </si>
  <si>
    <t>Транспорт_2</t>
  </si>
  <si>
    <t>Транспорт_3</t>
  </si>
  <si>
    <t>Транспорт_4</t>
  </si>
  <si>
    <t>Транспорт_5</t>
  </si>
  <si>
    <t>Транспорт_6</t>
  </si>
  <si>
    <t>Транспорт_7</t>
  </si>
  <si>
    <t>Транспорт_8</t>
  </si>
  <si>
    <t>Транспорт_9</t>
  </si>
  <si>
    <t>Транспорт_10</t>
  </si>
  <si>
    <t>Транспорт_11</t>
  </si>
  <si>
    <t>Транспорт_12</t>
  </si>
  <si>
    <t>Транспорт_13</t>
  </si>
  <si>
    <t>Транспорт_14</t>
  </si>
  <si>
    <t>Транспорт_15</t>
  </si>
  <si>
    <t>Транспорт_16</t>
  </si>
  <si>
    <t>Транспорт_17</t>
  </si>
  <si>
    <t>Транспорт_18</t>
  </si>
  <si>
    <t>Транспорт_19</t>
  </si>
  <si>
    <t>Транспорт_20</t>
  </si>
  <si>
    <t>Транспорт_21</t>
  </si>
  <si>
    <t>Транспорт_22</t>
  </si>
  <si>
    <t>Транспорт_23</t>
  </si>
  <si>
    <t>Вариант ТС №1</t>
  </si>
  <si>
    <t>Вариант ТС №2</t>
  </si>
  <si>
    <t>Вариант ТС №3</t>
  </si>
  <si>
    <t>Вариант ТС №4</t>
  </si>
  <si>
    <t>Вариант ТС №5</t>
  </si>
  <si>
    <t>Вариант ТС №6</t>
  </si>
  <si>
    <t>Вариант ТС №7</t>
  </si>
  <si>
    <t>Вариант ТС №8</t>
  </si>
  <si>
    <t>Вариант ТС №9</t>
  </si>
  <si>
    <t>Вариант ТС №10</t>
  </si>
  <si>
    <t>Вариант ТС №11</t>
  </si>
  <si>
    <t>Вариант ТС №12</t>
  </si>
  <si>
    <t>Вариант ТС №13</t>
  </si>
  <si>
    <t>Вариант ТС №14</t>
  </si>
  <si>
    <t>Вариант ТС №15</t>
  </si>
  <si>
    <t>Вариант ТС №16</t>
  </si>
  <si>
    <t>Вариант ТС №17</t>
  </si>
  <si>
    <t>Вариант ТС №18</t>
  </si>
  <si>
    <t>Вариант ТС №19</t>
  </si>
  <si>
    <t>Вариант ТС №20</t>
  </si>
  <si>
    <t>Вариант ТС №21</t>
  </si>
  <si>
    <t>Вариант ТС №22</t>
  </si>
  <si>
    <t>Вариант ТС №23</t>
  </si>
  <si>
    <t>Иванов_1</t>
  </si>
  <si>
    <t>Петров_1</t>
  </si>
  <si>
    <t>Сидоров_1</t>
  </si>
  <si>
    <t>Иванов_2</t>
  </si>
  <si>
    <t>Петров_2</t>
  </si>
  <si>
    <t>Сидоров_2</t>
  </si>
  <si>
    <t>Иванов_3</t>
  </si>
  <si>
    <t>Петров_3</t>
  </si>
  <si>
    <t>Сидоров_3</t>
  </si>
  <si>
    <t>Иванов_4</t>
  </si>
  <si>
    <t>Петров_4</t>
  </si>
  <si>
    <t>Сидоров_4</t>
  </si>
  <si>
    <t>Иванов_5</t>
  </si>
  <si>
    <t>Петров_5</t>
  </si>
  <si>
    <t>Сидоров_5</t>
  </si>
  <si>
    <t>Иванов_6</t>
  </si>
  <si>
    <t>Петров_6</t>
  </si>
  <si>
    <t>Сидоров_6</t>
  </si>
  <si>
    <t>Иванов_7</t>
  </si>
  <si>
    <t>Петров_7</t>
  </si>
  <si>
    <t>Сидоров_7</t>
  </si>
  <si>
    <t>Иванов_8</t>
  </si>
  <si>
    <t>Петров_8</t>
  </si>
  <si>
    <t>Сидоров_8</t>
  </si>
  <si>
    <t>Иванов_9</t>
  </si>
  <si>
    <t>Петров_9</t>
  </si>
  <si>
    <t>Сидоров_9</t>
  </si>
  <si>
    <t>Иванов_10</t>
  </si>
  <si>
    <t>Петров_10</t>
  </si>
  <si>
    <t>Сидоров_10</t>
  </si>
  <si>
    <t>Иванов_11</t>
  </si>
  <si>
    <t>Петров_11</t>
  </si>
  <si>
    <t>Сидоров_11</t>
  </si>
  <si>
    <t>Иванов_12</t>
  </si>
  <si>
    <t>Петров_12</t>
  </si>
  <si>
    <t>Сидоров_12</t>
  </si>
  <si>
    <t>Иванов_13</t>
  </si>
  <si>
    <t>Петров_13</t>
  </si>
  <si>
    <t>Сидоров_13</t>
  </si>
  <si>
    <t>Иванов_14</t>
  </si>
  <si>
    <t>Петров_14</t>
  </si>
  <si>
    <t>Сидоров_14</t>
  </si>
  <si>
    <t>Иванов_15</t>
  </si>
  <si>
    <t>Петров_15</t>
  </si>
  <si>
    <t>Сидоров_15</t>
  </si>
  <si>
    <t>Иванов_16</t>
  </si>
  <si>
    <t>Петров_16</t>
  </si>
  <si>
    <t>Сидоров_16</t>
  </si>
  <si>
    <t>Иванов_17</t>
  </si>
  <si>
    <t>Петров_17</t>
  </si>
  <si>
    <t>Сидоров_17</t>
  </si>
  <si>
    <t>Иванов_18</t>
  </si>
  <si>
    <t>Петров_18</t>
  </si>
  <si>
    <t>Сидоров_18</t>
  </si>
  <si>
    <t>Иванов_19</t>
  </si>
  <si>
    <t>Петров_19</t>
  </si>
  <si>
    <t>Сидоров_19</t>
  </si>
  <si>
    <t>Иванов_20</t>
  </si>
  <si>
    <t>Петров_20</t>
  </si>
  <si>
    <t>Сидоров_20</t>
  </si>
  <si>
    <t>Иванов_21</t>
  </si>
  <si>
    <t>Билет</t>
  </si>
  <si>
    <t>Форма ввода данных</t>
  </si>
  <si>
    <t>Позиция 1</t>
  </si>
  <si>
    <t>Позиция 2</t>
  </si>
  <si>
    <t>Позиция 3</t>
  </si>
  <si>
    <t>Позиция 4</t>
  </si>
  <si>
    <t>Вид транспорта</t>
  </si>
  <si>
    <t>Пассажир</t>
  </si>
  <si>
    <t>Сотрудник</t>
  </si>
  <si>
    <t>Транспорт</t>
  </si>
  <si>
    <t>Цена проезда</t>
  </si>
  <si>
    <t>Сумма по столбцу (стоимость)</t>
  </si>
  <si>
    <t>Восточное направление</t>
  </si>
  <si>
    <t>Западное направление</t>
  </si>
  <si>
    <t>Счёт №</t>
  </si>
  <si>
    <t>Регион:</t>
  </si>
  <si>
    <t>Стоимость (RUB)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</si>
</sst>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\ h:mm;@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7F7F7F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2"/>
      <color rgb="FF00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7" tint="0.59999389629810485"/>
      <name val="Calibri"/>
      <family val="2"/>
      <charset val="204"/>
      <scheme val="minor"/>
    </font>
    <font>
      <b/>
      <sz val="11"/>
      <color theme="7" tint="0.59999389629810485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sz val="16"/>
      <color theme="1" tint="0.249977111117893"/>
      <name val="Calibri"/>
      <family val="2"/>
      <charset val="204"/>
      <scheme val="minor"/>
    </font>
    <font>
      <b/>
      <sz val="24"/>
      <color theme="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3" fillId="0" borderId="3" xfId="0" applyFont="1" applyBorder="1" applyAlignment="1">
      <alignment horizontal="center"/>
    </xf>
    <xf numFmtId="22" fontId="0" fillId="0" borderId="0" xfId="0" applyNumberFormat="1"/>
    <xf numFmtId="22" fontId="0" fillId="3" borderId="2" xfId="2" applyNumberFormat="1" applyFont="1"/>
    <xf numFmtId="0" fontId="0" fillId="3" borderId="2" xfId="2" applyFont="1"/>
    <xf numFmtId="164" fontId="0" fillId="0" borderId="0" xfId="0" applyNumberFormat="1"/>
    <xf numFmtId="22" fontId="4" fillId="2" borderId="1" xfId="1" applyNumberFormat="1" applyFont="1" applyAlignment="1">
      <alignment horizontal="center"/>
    </xf>
    <xf numFmtId="0" fontId="4" fillId="2" borderId="1" xfId="1" applyFont="1" applyAlignment="1">
      <alignment horizontal="center"/>
    </xf>
    <xf numFmtId="0" fontId="6" fillId="0" borderId="0" xfId="3" applyFont="1"/>
    <xf numFmtId="0" fontId="0" fillId="4" borderId="4" xfId="0" applyFont="1" applyFill="1" applyBorder="1"/>
    <xf numFmtId="4" fontId="4" fillId="2" borderId="1" xfId="1" applyNumberFormat="1" applyFont="1" applyAlignment="1">
      <alignment horizontal="center"/>
    </xf>
    <xf numFmtId="164" fontId="0" fillId="0" borderId="0" xfId="0" applyNumberFormat="1" applyBorder="1"/>
    <xf numFmtId="0" fontId="0" fillId="0" borderId="0" xfId="0" applyBorder="1"/>
    <xf numFmtId="0" fontId="0" fillId="0" borderId="0" xfId="0" applyNumberFormat="1" applyBorder="1"/>
    <xf numFmtId="0" fontId="0" fillId="0" borderId="5" xfId="0" applyFill="1" applyBorder="1"/>
    <xf numFmtId="0" fontId="0" fillId="5" borderId="0" xfId="0" applyFill="1"/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9" fillId="9" borderId="0" xfId="0" applyFont="1" applyFill="1"/>
    <xf numFmtId="0" fontId="8" fillId="9" borderId="0" xfId="0" applyFont="1" applyFill="1" applyAlignment="1">
      <alignment horizontal="left" vertical="center"/>
    </xf>
    <xf numFmtId="0" fontId="11" fillId="0" borderId="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2" fillId="0" borderId="3" xfId="0" applyFont="1" applyBorder="1" applyAlignment="1">
      <alignment horizontal="center" vertical="center" textRotation="45"/>
    </xf>
    <xf numFmtId="0" fontId="0" fillId="10" borderId="0" xfId="0" applyFill="1"/>
    <xf numFmtId="0" fontId="13" fillId="9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0" fillId="0" borderId="0" xfId="0" pivotButton="1" applyAlignment="1">
      <alignment vertical="center"/>
    </xf>
    <xf numFmtId="0" fontId="0" fillId="11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vertical="center"/>
    </xf>
    <xf numFmtId="0" fontId="16" fillId="12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3" fillId="11" borderId="6" xfId="0" applyFont="1" applyFill="1" applyBorder="1" applyAlignment="1">
      <alignment horizontal="left" vertical="center"/>
    </xf>
    <xf numFmtId="0" fontId="17" fillId="13" borderId="0" xfId="0" applyFont="1" applyFill="1" applyAlignment="1">
      <alignment horizontal="left" vertical="center"/>
    </xf>
    <xf numFmtId="14" fontId="7" fillId="6" borderId="0" xfId="0" applyNumberFormat="1" applyFont="1" applyFill="1" applyAlignment="1">
      <alignment horizontal="center" vertical="center"/>
    </xf>
    <xf numFmtId="0" fontId="3" fillId="11" borderId="6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4">
    <cellStyle name="Вывод" xfId="1" builtinId="21"/>
    <cellStyle name="Обычный" xfId="0" builtinId="0"/>
    <cellStyle name="Пояснение" xfId="3" builtinId="53"/>
    <cellStyle name="Примечание" xfId="2" builtinId="1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59999389629810485"/>
          <bgColor theme="9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164" formatCode="dd/mm/yy\ h:mm;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1"/>
        </patternFill>
      </fill>
    </dxf>
    <dxf>
      <font>
        <sz val="14"/>
      </font>
    </dxf>
    <dxf>
      <font>
        <b/>
      </font>
    </dxf>
    <dxf>
      <font>
        <b/>
      </font>
    </dxf>
    <dxf>
      <font>
        <color rgb="FFFF0000"/>
      </font>
    </dxf>
    <dxf>
      <fill>
        <patternFill patternType="solid">
          <bgColor theme="1"/>
        </patternFill>
      </fill>
    </dxf>
    <dxf>
      <fill>
        <patternFill>
          <bgColor theme="1"/>
        </patternFill>
      </fill>
    </dxf>
    <dxf>
      <alignment vertical="center" readingOrder="0"/>
    </dxf>
    <dxf>
      <alignment vertical="bottom" indent="0" readingOrder="0"/>
    </dxf>
    <dxf>
      <fill>
        <patternFill patternType="solid">
          <bgColor theme="0" tint="-0.14999847407452621"/>
        </patternFill>
      </fill>
    </dxf>
    <dxf>
      <alignment vertical="center" readingOrder="0"/>
    </dxf>
    <dxf>
      <alignment horizontal="center" readingOrder="0"/>
    </dxf>
    <dxf>
      <alignment vertical="center" readingOrder="0"/>
    </dxf>
    <dxf>
      <font>
        <sz val="16"/>
      </font>
    </dxf>
    <dxf>
      <alignment horizontal="center" readingOrder="0"/>
    </dxf>
    <dxf>
      <alignment vertical="center" readingOrder="0"/>
    </dxf>
    <dxf>
      <font>
        <b/>
      </font>
    </dxf>
    <dxf>
      <font>
        <color theme="7" tint="0.59999389629810485"/>
      </font>
    </dxf>
    <dxf>
      <fill>
        <patternFill patternType="solid">
          <bgColor theme="1" tint="0.249977111117893"/>
        </patternFill>
      </fill>
    </dxf>
    <dxf>
      <alignment horizontal="center" readingOrder="0"/>
    </dxf>
    <dxf>
      <alignment vertical="center" readingOrder="0"/>
    </dxf>
    <dxf>
      <fill>
        <patternFill patternType="solid">
          <bgColor theme="1" tint="0.249977111117893"/>
        </patternFill>
      </fill>
    </dxf>
    <dxf>
      <font>
        <color theme="7" tint="0.59999389629810485"/>
      </font>
    </dxf>
    <dxf>
      <font>
        <b/>
      </font>
    </dxf>
    <dxf>
      <alignment horizontal="center" readingOrder="0"/>
    </dxf>
    <dxf>
      <alignment vertical="center" readingOrder="0"/>
    </dxf>
    <dxf>
      <font>
        <color theme="7" tint="0.59999389629810485"/>
      </font>
    </dxf>
    <dxf>
      <fill>
        <patternFill patternType="solid">
          <bgColor theme="1" tint="0.249977111117893"/>
        </patternFill>
      </fill>
    </dxf>
    <dxf>
      <fill>
        <patternFill>
          <bgColor theme="1" tint="0.249977111117893"/>
        </patternFill>
      </fill>
    </dxf>
    <dxf>
      <font>
        <color rgb="FFFF0000"/>
      </font>
    </dxf>
    <dxf>
      <fill>
        <patternFill patternType="solid">
          <bgColor theme="1" tint="4.9989318521683403E-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45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142875</xdr:rowOff>
        </xdr:from>
        <xdr:to>
          <xdr:col>3</xdr:col>
          <xdr:colOff>600075</xdr:colOff>
          <xdr:row>16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EBDE97E-CDC7-48F2-9B22-B0126D90E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</a:rPr>
                <a:t>Обновить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kolay Pavlov" refreshedDate="42622.55627523148" backgroundQuery="1" createdVersion="6" refreshedVersion="6" minRefreshableVersion="3" recordCount="0" supportSubquery="1" supportAdvancedDrill="1" xr:uid="{00000000-000A-0000-FFFF-FFFF00000000}">
  <cacheSource type="external" connectionId="1"/>
  <cacheFields count="4">
    <cacheField name="[Продажи].[Товар].[Товар]" caption="Товар" numFmtId="0" hierarchy="7" level="1">
      <sharedItems count="7">
        <s v="Картофель"/>
        <s v="Лук"/>
        <s v="Морковь"/>
        <s v="Салат"/>
        <s v="Грейпфрут"/>
        <s v="Нектарин"/>
        <s v="Персик"/>
      </sharedItems>
    </cacheField>
    <cacheField name="[Прайс].[Категория].[Категория]" caption="Категория" numFmtId="0" hierarchy="4" level="1">
      <sharedItems count="2">
        <s v="Овощи"/>
        <s v="Фрукты"/>
      </sharedItems>
    </cacheField>
    <cacheField name="[Клиенты].[Регион].[Регион]" caption="Регион" numFmtId="0" hierarchy="2" level="1">
      <sharedItems count="3">
        <s v="Восток"/>
        <s v="Север"/>
        <s v="Центр"/>
      </sharedItems>
    </cacheField>
    <cacheField name="[Measures].[Сумма по столбцу Стоимость]" caption="Сумма по столбцу Стоимость" numFmtId="0" hierarchy="17" level="32767"/>
  </cacheFields>
  <cacheHierarchies count="18">
    <cacheHierarchy uniqueName="[Клиенты].[Клиент]" caption="Клиент" attribute="1" defaultMemberUniqueName="[Клиенты].[Клиент].[All]" allUniqueName="[Клиенты].[Клиент].[All]" dimensionUniqueName="[Клиенты]" displayFolder="" count="0" memberValueDatatype="130" unbalanced="0"/>
    <cacheHierarchy uniqueName="[Клиенты].[Город]" caption="Город" attribute="1" defaultMemberUniqueName="[Клиенты].[Город].[All]" allUniqueName="[Клиенты].[Город].[All]" dimensionUniqueName="[Клиенты]" displayFolder="" count="2" memberValueDatatype="130" unbalanced="0"/>
    <cacheHierarchy uniqueName="[Клиенты].[Регион]" caption="Регион" attribute="1" defaultMemberUniqueName="[Клиенты].[Регион].[All]" allUniqueName="[Клиенты].[Регион].[All]" dimensionUniqueName="[Клиенты]" displayFolder="" count="2" memberValueDatatype="130" unbalanced="0">
      <fieldsUsage count="2">
        <fieldUsage x="-1"/>
        <fieldUsage x="2"/>
      </fieldsUsage>
    </cacheHierarchy>
    <cacheHierarchy uniqueName="[Прайс].[Наименование]" caption="Наименование" attribute="1" defaultMemberUniqueName="[Прайс].[Наименование].[All]" allUniqueName="[Прайс].[Наименование].[All]" dimensionUniqueName="[Прайс]" displayFolder="" count="0" memberValueDatatype="130" unbalanced="0"/>
    <cacheHierarchy uniqueName="[Прайс].[Категория]" caption="Категория" attribute="1" defaultMemberUniqueName="[Прайс].[Категория].[All]" allUniqueName="[Прайс].[Категория].[All]" dimensionUniqueName="[Прайс]" displayFolder="" count="2" memberValueDatatype="130" unbalanced="0">
      <fieldsUsage count="2">
        <fieldUsage x="-1"/>
        <fieldUsage x="1"/>
      </fieldsUsage>
    </cacheHierarchy>
    <cacheHierarchy uniqueName="[Прайс].[Цена]" caption="Цена" attribute="1" defaultMemberUniqueName="[Прайс].[Цена].[All]" allUniqueName="[Прайс].[Цена].[All]" dimensionUniqueName="[Прайс]" displayFolder="" count="0" memberValueDatatype="20" unbalanced="0"/>
    <cacheHierarchy uniqueName="[Продажи].[Дата]" caption="Дата" attribute="1" time="1" defaultMemberUniqueName="[Продажи].[Дата].[All]" allUniqueName="[Продажи].[Дата].[All]" dimensionUniqueName="[Продажи]" displayFolder="" count="0" memberValueDatatype="7" unbalanced="0"/>
    <cacheHierarchy uniqueName="[Продажи].[Товар]" caption="Товар" attribute="1" defaultMemberUniqueName="[Продажи].[Товар].[All]" allUniqueName="[Продажи].[Товар].[All]" dimensionUniqueName="[Продажи]" displayFolder="" count="2" memberValueDatatype="130" unbalanced="0">
      <fieldsUsage count="2">
        <fieldUsage x="-1"/>
        <fieldUsage x="0"/>
      </fieldsUsage>
    </cacheHierarchy>
    <cacheHierarchy uniqueName="[Продажи].[Кол-во]" caption="Кол-во" attribute="1" defaultMemberUniqueName="[Продажи].[Кол-во].[All]" allUniqueName="[Продажи].[Кол-во].[All]" dimensionUniqueName="[Продажи]" displayFolder="" count="0" memberValueDatatype="20" unbalanced="0"/>
    <cacheHierarchy uniqueName="[Продажи].[Стоимость]" caption="Стоимость" attribute="1" defaultMemberUniqueName="[Продажи].[Стоимость].[All]" allUniqueName="[Продажи].[Стоимость].[All]" dimensionUniqueName="[Продажи]" displayFolder="" count="0" memberValueDatatype="20" unbalanced="0"/>
    <cacheHierarchy uniqueName="[Продажи].[Клиент]" caption="Клиент" attribute="1" defaultMemberUniqueName="[Продажи].[Клиент].[All]" allUniqueName="[Продажи].[Клиент].[All]" dimensionUniqueName="[Продажи]" displayFolder="" count="0" memberValueDatatype="130" unbalanced="0"/>
    <cacheHierarchy uniqueName="[Measures].[__XL_Count Продажи]" caption="__XL_Count Продажи" measure="1" displayFolder="" measureGroup="Продажи" count="0" hidden="1"/>
    <cacheHierarchy uniqueName="[Measures].[__XL_Count Прайс]" caption="__XL_Count Прайс" measure="1" displayFolder="" measureGroup="Прайс" count="0" hidden="1"/>
    <cacheHierarchy uniqueName="[Measures].[__XL_Count Клиенты]" caption="__XL_Count Клиенты" measure="1" displayFolder="" measureGroup="Клиенты" count="0" hidden="1"/>
    <cacheHierarchy uniqueName="[Measures].[__No measures defined]" caption="__No measures defined" measure="1" displayFolder="" count="0" hidden="1"/>
    <cacheHierarchy uniqueName="[Measures].[Сумма по столбцу Кол-во]" caption="Сумма по столбцу Кол-во" measure="1" displayFolder="" measureGroup="Продажи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Цена]" caption="Сумма по столбцу Цена" measure="1" displayFolder="" measureGroup="Прайс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Сумма по столбцу Стоимость]" caption="Сумма по столбцу Стоимость" measure="1" displayFolder="" measureGroup="Продажи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4">
    <dimension measure="1" name="Measures" uniqueName="[Measures]" caption="Measures"/>
    <dimension name="Клиенты" uniqueName="[Клиенты]" caption="Клиенты"/>
    <dimension name="Прайс" uniqueName="[Прайс]" caption="Прайс"/>
    <dimension name="Продажи" uniqueName="[Продажи]" caption="Продажи"/>
  </dimensions>
  <measureGroups count="3">
    <measureGroup name="Клиенты" caption="Клиенты"/>
    <measureGroup name="Прайс" caption="Прайс"/>
    <measureGroup name="Продажи" caption="Продажи"/>
  </measureGroups>
  <maps count="5">
    <map measureGroup="0" dimension="1"/>
    <map measureGroup="1" dimension="2"/>
    <map measureGroup="2" dimension="1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subtotalHiddenItems="1" itemPrintTitles="1" createdVersion="6" indent="0" outline="1" outlineData="1" multipleFieldFilters="0">
  <location ref="A3:E14" firstHeaderRow="1" firstDataRow="2" firstDataCol="1"/>
  <pivotFields count="4">
    <pivotField axis="axisRow" allDrilled="1" showAll="0" dataSourceSort="1" defaultAttributeDrillState="1">
      <items count="8">
        <item n="Позиция 1" x="0"/>
        <item n="Позиция 2" x="1"/>
        <item n="Позиция 3" x="2"/>
        <item n="Позиция 4" x="3"/>
        <item n="Позиция 1" x="4"/>
        <item n="Позиция 2" x="5"/>
        <item n="Позиция 3" x="6"/>
        <item t="default"/>
      </items>
    </pivotField>
    <pivotField axis="axisRow" allDrilled="1" showAll="0" dataSourceSort="1" defaultAttributeDrillState="1">
      <items count="3">
        <item n="Названия строк" x="0"/>
        <item n="Названия строк" x="1"/>
        <item t="default"/>
      </items>
    </pivotField>
    <pivotField axis="axisCol" allDrilled="1" showAll="0" dataSourceSort="1" defaultAttributeDrillState="1">
      <items count="4">
        <item n="Восточное направление" x="0"/>
        <item n="Западное направление" x="1"/>
        <item x="2"/>
        <item t="default"/>
      </items>
    </pivotField>
    <pivotField dataField="1" showAll="0"/>
  </pivotFields>
  <rowFields count="2">
    <field x="1"/>
    <field x="0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 v="4"/>
    </i>
    <i r="1">
      <x v="5"/>
    </i>
    <i r="1">
      <x v="6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Сумма по столбцу (стоимость)" fld="3" baseField="0" baseItem="0"/>
  </dataFields>
  <formats count="31">
    <format dxfId="35">
      <pivotArea dataOnly="0" labelOnly="1" grandCol="1" outline="0" fieldPosition="0"/>
    </format>
    <format dxfId="34">
      <pivotArea dataOnly="0" labelOnly="1" grandCol="1" outline="0" fieldPosition="0"/>
    </format>
    <format dxfId="33">
      <pivotArea dataOnly="0" labelOnly="1" grandCol="1" outline="0" fieldPosition="0"/>
    </format>
    <format dxfId="32">
      <pivotArea dataOnly="0" labelOnly="1" fieldPosition="0">
        <references count="1">
          <reference field="2" count="1">
            <x v="0"/>
          </reference>
        </references>
      </pivotArea>
    </format>
    <format dxfId="31">
      <pivotArea dataOnly="0" labelOnly="1" fieldPosition="0">
        <references count="1">
          <reference field="2" count="1">
            <x v="0"/>
          </reference>
        </references>
      </pivotArea>
    </format>
    <format dxfId="30">
      <pivotArea dataOnly="0" labelOnly="1" fieldPosition="0">
        <references count="1">
          <reference field="2" count="1">
            <x v="0"/>
          </reference>
        </references>
      </pivotArea>
    </format>
    <format dxfId="29">
      <pivotArea dataOnly="0" labelOnly="1" fieldPosition="0">
        <references count="1">
          <reference field="2" count="1">
            <x v="0"/>
          </reference>
        </references>
      </pivotArea>
    </format>
    <format dxfId="28">
      <pivotArea dataOnly="0" labelOnly="1" fieldPosition="0">
        <references count="1">
          <reference field="2" count="1">
            <x v="0"/>
          </reference>
        </references>
      </pivotArea>
    </format>
    <format dxfId="27">
      <pivotArea dataOnly="0" labelOnly="1" fieldPosition="0">
        <references count="1">
          <reference field="2" count="1">
            <x v="1"/>
          </reference>
        </references>
      </pivotArea>
    </format>
    <format dxfId="26">
      <pivotArea dataOnly="0" labelOnly="1" fieldPosition="0">
        <references count="1">
          <reference field="2" count="1">
            <x v="1"/>
          </reference>
        </references>
      </pivotArea>
    </format>
    <format dxfId="25">
      <pivotArea dataOnly="0" labelOnly="1" fieldPosition="0">
        <references count="1">
          <reference field="2" count="1">
            <x v="1"/>
          </reference>
        </references>
      </pivotArea>
    </format>
    <format dxfId="24">
      <pivotArea dataOnly="0" labelOnly="1" fieldPosition="0">
        <references count="1">
          <reference field="2" count="1">
            <x v="1"/>
          </reference>
        </references>
      </pivotArea>
    </format>
    <format dxfId="23">
      <pivotArea dataOnly="0" labelOnly="1" fieldPosition="0">
        <references count="1">
          <reference field="2" count="1">
            <x v="2"/>
          </reference>
        </references>
      </pivotArea>
    </format>
    <format dxfId="22">
      <pivotArea dataOnly="0" labelOnly="1" fieldPosition="0">
        <references count="1">
          <reference field="2" count="1">
            <x v="2"/>
          </reference>
        </references>
      </pivotArea>
    </format>
    <format dxfId="21">
      <pivotArea dataOnly="0" labelOnly="1" fieldPosition="0">
        <references count="1">
          <reference field="2" count="1">
            <x v="2"/>
          </reference>
        </references>
      </pivotArea>
    </format>
    <format dxfId="20">
      <pivotArea dataOnly="0" labelOnly="1" fieldPosition="0">
        <references count="1">
          <reference field="2" count="1">
            <x v="2"/>
          </reference>
        </references>
      </pivotArea>
    </format>
    <format dxfId="19">
      <pivotArea dataOnly="0" labelOnly="1" fieldPosition="0">
        <references count="1">
          <reference field="2" count="1">
            <x v="2"/>
          </reference>
        </references>
      </pivotArea>
    </format>
    <format dxfId="18">
      <pivotArea dataOnly="0" labelOnly="1" grandCol="1" outline="0" fieldPosition="0"/>
    </format>
    <format dxfId="17">
      <pivotArea dataOnly="0" labelOnly="1" grandCol="1" outline="0" fieldPosition="0"/>
    </format>
    <format dxfId="16">
      <pivotArea dataOnly="0" labelOnly="1" grandCol="1" outline="0" fieldPosition="0"/>
    </format>
    <format dxfId="15">
      <pivotArea field="1" type="button" dataOnly="0" labelOnly="1" outline="0" axis="axisRow" fieldPosition="0"/>
    </format>
    <format dxfId="14">
      <pivotArea field="1" type="button" dataOnly="0" labelOnly="1" outline="0" axis="axisRow" fieldPosition="0"/>
    </format>
    <format dxfId="13">
      <pivotArea type="all" dataOnly="0" outline="0" fieldPosition="0"/>
    </format>
    <format dxfId="12">
      <pivotArea type="all" dataOnly="0" outline="0" fieldPosition="0"/>
    </format>
    <format dxfId="11">
      <pivotArea dataOnly="0" labelOnly="1" grandCol="1" outline="0" fieldPosition="0"/>
    </format>
    <format dxfId="10">
      <pivotArea dataOnly="0" labelOnly="1" grandRow="1" outline="0" fieldPosition="0"/>
    </format>
    <format dxfId="9">
      <pivotArea dataOnly="0" labelOnly="1" grandRow="1" outline="0" fieldPosition="0"/>
    </format>
    <format dxfId="8">
      <pivotArea dataOnly="0" labelOnly="1" grandRow="1" outline="0" fieldPosition="0"/>
    </format>
    <format dxfId="7">
      <pivotArea dataOnly="0" labelOnly="1" grandCol="1" outline="0" fieldPosition="0"/>
    </format>
    <format dxfId="6">
      <pivotArea dataOnly="0" labelOnly="1" grandRow="1" outline="0" fieldPosition="0"/>
    </format>
    <format dxfId="5">
      <pivotArea dataOnly="0" labelOnly="1" grandRow="1" outline="0" fieldPosition="0"/>
    </format>
  </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Сумма по столбцу (стоимость)"/>
  </pivotHierarchies>
  <pivotTableStyleInfo name="PivotStyleLight16" showRowHeaders="1" showColHeaders="1" showRowStripes="0" showColStripes="0" showLastColumn="1"/>
  <rowHierarchiesUsage count="2">
    <rowHierarchyUsage hierarchyUsage="4"/>
    <rowHierarchyUsage hierarchyUsage="7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Продажи]"/>
        <x15:activeTabTopLevelEntity name="[Прайс]"/>
        <x15:activeTabTopLevelEntity name="[Клиенты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Прайс" displayName="Прайс" ref="A1:C24" totalsRowShown="0" headerRowDxfId="39" headerRowBorderDxfId="38">
  <autoFilter ref="A1:C24" xr:uid="{00000000-0009-0000-0100-000001000000}"/>
  <tableColumns count="3">
    <tableColumn id="2" xr3:uid="{00000000-0010-0000-0000-000002000000}" name="Наименование"/>
    <tableColumn id="1" xr3:uid="{00000000-0010-0000-0000-000001000000}" name="Транспорт"/>
    <tableColumn id="4" xr3:uid="{00000000-0010-0000-0000-000004000000}" name="Цена проезда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Клиенты" displayName="Клиенты" ref="F1:H30" totalsRowShown="0" headerRowDxfId="37" headerRowBorderDxfId="36">
  <autoFilter ref="F1:H30" xr:uid="{00000000-0009-0000-0100-000002000000}"/>
  <tableColumns count="3">
    <tableColumn id="1" xr3:uid="{00000000-0010-0000-0100-000001000000}" name="Сотрудник"/>
    <tableColumn id="2" xr3:uid="{00000000-0010-0000-0100-000002000000}" name="Город"/>
    <tableColumn id="3" xr3:uid="{00000000-0010-0000-0100-000003000000}" name="Регион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Продажи" displayName="Продажи" ref="A1:E64" totalsRowShown="0" headerRowDxfId="4" headerRowBorderDxfId="3">
  <autoFilter ref="A1:E64" xr:uid="{00000000-0009-0000-0100-000003000000}"/>
  <tableColumns count="5">
    <tableColumn id="1" xr3:uid="{00000000-0010-0000-0200-000001000000}" name="Дата" dataDxfId="2"/>
    <tableColumn id="2" xr3:uid="{00000000-0010-0000-0200-000002000000}" name="Товар"/>
    <tableColumn id="3" xr3:uid="{00000000-0010-0000-0200-000003000000}" name="Кол-во"/>
    <tableColumn id="5" xr3:uid="{00000000-0010-0000-0200-000005000000}" name="Стоимость" dataDxfId="1"/>
    <tableColumn id="4" xr3:uid="{00000000-0010-0000-0200-000004000000}" name="Клиент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30"/>
  <sheetViews>
    <sheetView tabSelected="1" workbookViewId="0">
      <selection activeCell="J1" sqref="J1"/>
    </sheetView>
  </sheetViews>
  <sheetFormatPr defaultRowHeight="15" x14ac:dyDescent="0.25"/>
  <cols>
    <col min="1" max="1" width="20" customWidth="1"/>
    <col min="2" max="2" width="15" customWidth="1"/>
    <col min="3" max="3" width="17.140625" customWidth="1"/>
    <col min="4" max="5" width="4" style="24" customWidth="1"/>
    <col min="6" max="6" width="15.42578125" bestFit="1" customWidth="1"/>
    <col min="7" max="7" width="24" customWidth="1"/>
    <col min="8" max="8" width="21.85546875" customWidth="1"/>
    <col min="9" max="9" width="9.140625" style="24"/>
  </cols>
  <sheetData>
    <row r="1" spans="1:8" ht="70.5" thickBot="1" x14ac:dyDescent="0.3">
      <c r="A1" s="21" t="s">
        <v>0</v>
      </c>
      <c r="B1" s="21" t="s">
        <v>166</v>
      </c>
      <c r="C1" s="21" t="s">
        <v>167</v>
      </c>
      <c r="F1" s="23" t="s">
        <v>165</v>
      </c>
      <c r="G1" s="23" t="s">
        <v>2</v>
      </c>
      <c r="H1" s="23" t="s">
        <v>3</v>
      </c>
    </row>
    <row r="2" spans="1:8" x14ac:dyDescent="0.25">
      <c r="A2" t="s">
        <v>50</v>
      </c>
      <c r="B2" t="s">
        <v>73</v>
      </c>
      <c r="C2">
        <v>150</v>
      </c>
      <c r="F2" t="s">
        <v>96</v>
      </c>
      <c r="G2" t="s">
        <v>4</v>
      </c>
      <c r="H2" t="s">
        <v>9</v>
      </c>
    </row>
    <row r="3" spans="1:8" x14ac:dyDescent="0.25">
      <c r="A3" t="s">
        <v>51</v>
      </c>
      <c r="B3" t="s">
        <v>74</v>
      </c>
      <c r="C3">
        <v>200</v>
      </c>
      <c r="F3" t="s">
        <v>97</v>
      </c>
      <c r="G3" t="s">
        <v>5</v>
      </c>
      <c r="H3" t="s">
        <v>9</v>
      </c>
    </row>
    <row r="4" spans="1:8" x14ac:dyDescent="0.25">
      <c r="A4" t="s">
        <v>52</v>
      </c>
      <c r="B4" t="s">
        <v>75</v>
      </c>
      <c r="C4">
        <v>250</v>
      </c>
      <c r="F4" t="s">
        <v>98</v>
      </c>
      <c r="G4" t="s">
        <v>25</v>
      </c>
      <c r="H4" t="s">
        <v>9</v>
      </c>
    </row>
    <row r="5" spans="1:8" x14ac:dyDescent="0.25">
      <c r="A5" t="s">
        <v>53</v>
      </c>
      <c r="B5" t="s">
        <v>76</v>
      </c>
      <c r="C5">
        <v>300</v>
      </c>
      <c r="F5" t="s">
        <v>99</v>
      </c>
      <c r="G5" t="s">
        <v>6</v>
      </c>
      <c r="H5" t="s">
        <v>9</v>
      </c>
    </row>
    <row r="6" spans="1:8" x14ac:dyDescent="0.25">
      <c r="A6" t="s">
        <v>54</v>
      </c>
      <c r="B6" t="s">
        <v>77</v>
      </c>
      <c r="C6">
        <v>350</v>
      </c>
      <c r="F6" t="s">
        <v>100</v>
      </c>
      <c r="G6" t="s">
        <v>7</v>
      </c>
      <c r="H6" t="s">
        <v>9</v>
      </c>
    </row>
    <row r="7" spans="1:8" x14ac:dyDescent="0.25">
      <c r="A7" t="s">
        <v>55</v>
      </c>
      <c r="B7" t="s">
        <v>78</v>
      </c>
      <c r="C7">
        <v>400</v>
      </c>
      <c r="F7" t="s">
        <v>101</v>
      </c>
      <c r="G7" t="s">
        <v>27</v>
      </c>
      <c r="H7" t="s">
        <v>9</v>
      </c>
    </row>
    <row r="8" spans="1:8" x14ac:dyDescent="0.25">
      <c r="A8" t="s">
        <v>56</v>
      </c>
      <c r="B8" t="s">
        <v>79</v>
      </c>
      <c r="C8">
        <v>450</v>
      </c>
      <c r="F8" t="s">
        <v>102</v>
      </c>
      <c r="G8" t="s">
        <v>8</v>
      </c>
      <c r="H8" t="s">
        <v>9</v>
      </c>
    </row>
    <row r="9" spans="1:8" x14ac:dyDescent="0.25">
      <c r="A9" t="s">
        <v>57</v>
      </c>
      <c r="B9" t="s">
        <v>80</v>
      </c>
      <c r="C9">
        <v>500</v>
      </c>
      <c r="F9" t="s">
        <v>103</v>
      </c>
      <c r="G9" t="s">
        <v>11</v>
      </c>
      <c r="H9" t="s">
        <v>10</v>
      </c>
    </row>
    <row r="10" spans="1:8" x14ac:dyDescent="0.25">
      <c r="A10" t="s">
        <v>58</v>
      </c>
      <c r="B10" t="s">
        <v>81</v>
      </c>
      <c r="C10">
        <v>550</v>
      </c>
      <c r="F10" t="s">
        <v>104</v>
      </c>
      <c r="G10" t="s">
        <v>12</v>
      </c>
      <c r="H10" t="s">
        <v>10</v>
      </c>
    </row>
    <row r="11" spans="1:8" x14ac:dyDescent="0.25">
      <c r="A11" t="s">
        <v>59</v>
      </c>
      <c r="B11" t="s">
        <v>82</v>
      </c>
      <c r="C11">
        <v>600</v>
      </c>
      <c r="F11" t="s">
        <v>105</v>
      </c>
      <c r="G11" t="s">
        <v>13</v>
      </c>
      <c r="H11" t="s">
        <v>10</v>
      </c>
    </row>
    <row r="12" spans="1:8" x14ac:dyDescent="0.25">
      <c r="A12" t="s">
        <v>60</v>
      </c>
      <c r="B12" t="s">
        <v>83</v>
      </c>
      <c r="C12">
        <v>650</v>
      </c>
      <c r="F12" t="s">
        <v>106</v>
      </c>
      <c r="G12" t="s">
        <v>14</v>
      </c>
      <c r="H12" t="s">
        <v>10</v>
      </c>
    </row>
    <row r="13" spans="1:8" x14ac:dyDescent="0.25">
      <c r="A13" t="s">
        <v>61</v>
      </c>
      <c r="B13" t="s">
        <v>84</v>
      </c>
      <c r="C13">
        <v>700</v>
      </c>
      <c r="F13" t="s">
        <v>107</v>
      </c>
      <c r="G13" t="s">
        <v>26</v>
      </c>
      <c r="H13" t="s">
        <v>10</v>
      </c>
    </row>
    <row r="14" spans="1:8" x14ac:dyDescent="0.25">
      <c r="A14" t="s">
        <v>62</v>
      </c>
      <c r="B14" t="s">
        <v>85</v>
      </c>
      <c r="C14">
        <v>750</v>
      </c>
      <c r="F14" t="s">
        <v>108</v>
      </c>
      <c r="G14" t="s">
        <v>18</v>
      </c>
      <c r="H14" t="s">
        <v>17</v>
      </c>
    </row>
    <row r="15" spans="1:8" x14ac:dyDescent="0.25">
      <c r="A15" t="s">
        <v>63</v>
      </c>
      <c r="B15" t="s">
        <v>86</v>
      </c>
      <c r="C15">
        <v>800</v>
      </c>
      <c r="F15" t="s">
        <v>109</v>
      </c>
      <c r="G15" t="s">
        <v>19</v>
      </c>
      <c r="H15" t="s">
        <v>17</v>
      </c>
    </row>
    <row r="16" spans="1:8" x14ac:dyDescent="0.25">
      <c r="A16" t="s">
        <v>64</v>
      </c>
      <c r="B16" t="s">
        <v>87</v>
      </c>
      <c r="C16">
        <v>850</v>
      </c>
      <c r="F16" t="s">
        <v>110</v>
      </c>
      <c r="G16" t="s">
        <v>20</v>
      </c>
      <c r="H16" t="s">
        <v>17</v>
      </c>
    </row>
    <row r="17" spans="1:8" x14ac:dyDescent="0.25">
      <c r="A17" t="s">
        <v>65</v>
      </c>
      <c r="B17" t="s">
        <v>88</v>
      </c>
      <c r="C17">
        <v>900</v>
      </c>
      <c r="F17" t="s">
        <v>111</v>
      </c>
      <c r="G17" t="s">
        <v>21</v>
      </c>
      <c r="H17" t="s">
        <v>17</v>
      </c>
    </row>
    <row r="18" spans="1:8" x14ac:dyDescent="0.25">
      <c r="A18" t="s">
        <v>66</v>
      </c>
      <c r="B18" t="s">
        <v>89</v>
      </c>
      <c r="C18">
        <v>950</v>
      </c>
      <c r="F18" t="s">
        <v>112</v>
      </c>
      <c r="G18" t="s">
        <v>22</v>
      </c>
      <c r="H18" t="s">
        <v>17</v>
      </c>
    </row>
    <row r="19" spans="1:8" x14ac:dyDescent="0.25">
      <c r="A19" t="s">
        <v>67</v>
      </c>
      <c r="B19" t="s">
        <v>90</v>
      </c>
      <c r="C19">
        <v>1000</v>
      </c>
      <c r="F19" t="s">
        <v>113</v>
      </c>
      <c r="G19" t="s">
        <v>23</v>
      </c>
      <c r="H19" t="s">
        <v>17</v>
      </c>
    </row>
    <row r="20" spans="1:8" x14ac:dyDescent="0.25">
      <c r="A20" t="s">
        <v>68</v>
      </c>
      <c r="B20" t="s">
        <v>91</v>
      </c>
      <c r="C20">
        <v>1050</v>
      </c>
      <c r="F20" t="s">
        <v>114</v>
      </c>
      <c r="G20" t="s">
        <v>24</v>
      </c>
      <c r="H20" t="s">
        <v>17</v>
      </c>
    </row>
    <row r="21" spans="1:8" x14ac:dyDescent="0.25">
      <c r="A21" t="s">
        <v>69</v>
      </c>
      <c r="B21" t="s">
        <v>92</v>
      </c>
      <c r="C21">
        <v>1100</v>
      </c>
      <c r="F21" t="s">
        <v>115</v>
      </c>
      <c r="G21" t="s">
        <v>28</v>
      </c>
      <c r="H21" t="s">
        <v>17</v>
      </c>
    </row>
    <row r="22" spans="1:8" x14ac:dyDescent="0.25">
      <c r="A22" t="s">
        <v>70</v>
      </c>
      <c r="B22" t="s">
        <v>93</v>
      </c>
      <c r="C22">
        <v>1150</v>
      </c>
      <c r="F22" t="s">
        <v>116</v>
      </c>
      <c r="G22" t="s">
        <v>29</v>
      </c>
      <c r="H22" t="s">
        <v>17</v>
      </c>
    </row>
    <row r="23" spans="1:8" x14ac:dyDescent="0.25">
      <c r="A23" t="s">
        <v>71</v>
      </c>
      <c r="B23" t="s">
        <v>94</v>
      </c>
      <c r="C23">
        <v>1200</v>
      </c>
      <c r="F23" t="s">
        <v>117</v>
      </c>
      <c r="G23" t="s">
        <v>30</v>
      </c>
      <c r="H23" t="s">
        <v>17</v>
      </c>
    </row>
    <row r="24" spans="1:8" x14ac:dyDescent="0.25">
      <c r="A24" t="s">
        <v>72</v>
      </c>
      <c r="B24" t="s">
        <v>95</v>
      </c>
      <c r="C24">
        <v>1250</v>
      </c>
      <c r="F24" t="s">
        <v>118</v>
      </c>
      <c r="G24" t="s">
        <v>31</v>
      </c>
      <c r="H24" t="s">
        <v>17</v>
      </c>
    </row>
    <row r="25" spans="1:8" x14ac:dyDescent="0.25">
      <c r="F25" t="s">
        <v>119</v>
      </c>
      <c r="G25" t="s">
        <v>32</v>
      </c>
      <c r="H25" t="s">
        <v>15</v>
      </c>
    </row>
    <row r="26" spans="1:8" x14ac:dyDescent="0.25">
      <c r="F26" t="s">
        <v>120</v>
      </c>
      <c r="G26" t="s">
        <v>33</v>
      </c>
      <c r="H26" t="s">
        <v>15</v>
      </c>
    </row>
    <row r="27" spans="1:8" x14ac:dyDescent="0.25">
      <c r="F27" t="s">
        <v>121</v>
      </c>
      <c r="G27" t="s">
        <v>34</v>
      </c>
      <c r="H27" t="s">
        <v>15</v>
      </c>
    </row>
    <row r="28" spans="1:8" x14ac:dyDescent="0.25">
      <c r="F28" t="s">
        <v>122</v>
      </c>
      <c r="G28" t="s">
        <v>35</v>
      </c>
      <c r="H28" t="s">
        <v>15</v>
      </c>
    </row>
    <row r="29" spans="1:8" x14ac:dyDescent="0.25">
      <c r="F29" t="s">
        <v>123</v>
      </c>
      <c r="G29" t="s">
        <v>16</v>
      </c>
      <c r="H29" t="s">
        <v>15</v>
      </c>
    </row>
    <row r="30" spans="1:8" x14ac:dyDescent="0.25">
      <c r="F30" t="s">
        <v>124</v>
      </c>
      <c r="G30" t="s">
        <v>36</v>
      </c>
      <c r="H30" t="s">
        <v>15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E16"/>
  <sheetViews>
    <sheetView workbookViewId="0">
      <selection activeCell="F3" sqref="F3"/>
    </sheetView>
  </sheetViews>
  <sheetFormatPr defaultRowHeight="15" x14ac:dyDescent="0.25"/>
  <cols>
    <col min="1" max="1" width="37.140625" customWidth="1"/>
    <col min="2" max="3" width="28.5703125" customWidth="1"/>
    <col min="4" max="4" width="12.140625" customWidth="1"/>
    <col min="5" max="5" width="20" customWidth="1"/>
    <col min="6" max="6" width="6.28515625" customWidth="1"/>
    <col min="7" max="7" width="6.85546875" customWidth="1"/>
    <col min="8" max="8" width="9.28515625" customWidth="1"/>
    <col min="9" max="9" width="8.5703125" customWidth="1"/>
    <col min="10" max="10" width="11.28515625" bestFit="1" customWidth="1"/>
    <col min="11" max="11" width="5.85546875" customWidth="1"/>
    <col min="12" max="12" width="14.42578125" customWidth="1"/>
    <col min="13" max="13" width="4.85546875" customWidth="1"/>
    <col min="14" max="14" width="10.42578125" bestFit="1" customWidth="1"/>
    <col min="15" max="15" width="7.42578125" customWidth="1"/>
    <col min="16" max="16" width="9.85546875" bestFit="1" customWidth="1"/>
    <col min="17" max="17" width="10.42578125" bestFit="1" customWidth="1"/>
  </cols>
  <sheetData>
    <row r="1" spans="1:5" s="29" customFormat="1" x14ac:dyDescent="0.25"/>
    <row r="2" spans="1:5" s="29" customFormat="1" x14ac:dyDescent="0.25"/>
    <row r="3" spans="1:5" s="22" customFormat="1" x14ac:dyDescent="0.25">
      <c r="A3" s="27" t="s">
        <v>168</v>
      </c>
      <c r="B3" s="27" t="s">
        <v>46</v>
      </c>
    </row>
    <row r="4" spans="1:5" s="22" customFormat="1" ht="21" x14ac:dyDescent="0.25">
      <c r="A4" s="28" t="s">
        <v>44</v>
      </c>
      <c r="B4" s="26" t="s">
        <v>169</v>
      </c>
      <c r="C4" s="25" t="s">
        <v>170</v>
      </c>
      <c r="D4" s="26" t="s">
        <v>9</v>
      </c>
      <c r="E4" s="32" t="s">
        <v>45</v>
      </c>
    </row>
    <row r="5" spans="1:5" s="22" customFormat="1" x14ac:dyDescent="0.25">
      <c r="A5" s="30" t="s">
        <v>44</v>
      </c>
      <c r="B5" s="31">
        <v>43379</v>
      </c>
      <c r="C5" s="31">
        <v>4396</v>
      </c>
      <c r="D5" s="31"/>
      <c r="E5" s="31">
        <v>47775</v>
      </c>
    </row>
    <row r="6" spans="1:5" s="22" customFormat="1" x14ac:dyDescent="0.25">
      <c r="A6" s="30" t="s">
        <v>159</v>
      </c>
      <c r="B6" s="31">
        <v>14784</v>
      </c>
      <c r="C6" s="31">
        <v>4396</v>
      </c>
      <c r="D6" s="31"/>
      <c r="E6" s="31">
        <v>19180</v>
      </c>
    </row>
    <row r="7" spans="1:5" s="22" customFormat="1" x14ac:dyDescent="0.25">
      <c r="A7" s="30" t="s">
        <v>160</v>
      </c>
      <c r="B7" s="31">
        <v>11666</v>
      </c>
      <c r="C7" s="31"/>
      <c r="D7" s="31"/>
      <c r="E7" s="31">
        <v>11666</v>
      </c>
    </row>
    <row r="8" spans="1:5" s="22" customFormat="1" x14ac:dyDescent="0.25">
      <c r="A8" s="30" t="s">
        <v>161</v>
      </c>
      <c r="B8" s="31">
        <v>13104</v>
      </c>
      <c r="C8" s="31"/>
      <c r="D8" s="31"/>
      <c r="E8" s="31">
        <v>13104</v>
      </c>
    </row>
    <row r="9" spans="1:5" s="22" customFormat="1" x14ac:dyDescent="0.25">
      <c r="A9" s="30" t="s">
        <v>162</v>
      </c>
      <c r="B9" s="31">
        <v>3825</v>
      </c>
      <c r="C9" s="31"/>
      <c r="D9" s="31"/>
      <c r="E9" s="31">
        <v>3825</v>
      </c>
    </row>
    <row r="10" spans="1:5" s="22" customFormat="1" x14ac:dyDescent="0.25">
      <c r="A10" s="30" t="s">
        <v>44</v>
      </c>
      <c r="B10" s="31">
        <v>90380</v>
      </c>
      <c r="C10" s="31">
        <v>31320</v>
      </c>
      <c r="D10" s="31">
        <v>7920</v>
      </c>
      <c r="E10" s="31">
        <v>129620</v>
      </c>
    </row>
    <row r="11" spans="1:5" s="22" customFormat="1" x14ac:dyDescent="0.25">
      <c r="A11" s="30" t="s">
        <v>159</v>
      </c>
      <c r="B11" s="31">
        <v>10430</v>
      </c>
      <c r="C11" s="31"/>
      <c r="D11" s="31"/>
      <c r="E11" s="31">
        <v>10430</v>
      </c>
    </row>
    <row r="12" spans="1:5" s="22" customFormat="1" x14ac:dyDescent="0.25">
      <c r="A12" s="30" t="s">
        <v>160</v>
      </c>
      <c r="B12" s="31"/>
      <c r="C12" s="31">
        <v>31320</v>
      </c>
      <c r="D12" s="31">
        <v>7920</v>
      </c>
      <c r="E12" s="31">
        <v>39240</v>
      </c>
    </row>
    <row r="13" spans="1:5" s="22" customFormat="1" x14ac:dyDescent="0.25">
      <c r="A13" s="30" t="s">
        <v>161</v>
      </c>
      <c r="B13" s="31">
        <v>79950</v>
      </c>
      <c r="C13" s="31"/>
      <c r="D13" s="31"/>
      <c r="E13" s="31">
        <v>79950</v>
      </c>
    </row>
    <row r="14" spans="1:5" s="22" customFormat="1" ht="18.75" x14ac:dyDescent="0.25">
      <c r="A14" s="33" t="s">
        <v>45</v>
      </c>
      <c r="B14" s="31">
        <v>133759</v>
      </c>
      <c r="C14" s="31">
        <v>35716</v>
      </c>
      <c r="D14" s="31">
        <v>7920</v>
      </c>
      <c r="E14" s="31">
        <v>177395</v>
      </c>
    </row>
    <row r="15" spans="1:5" s="24" customFormat="1" x14ac:dyDescent="0.25"/>
    <row r="16" spans="1:5" s="24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E64"/>
  <sheetViews>
    <sheetView workbookViewId="0">
      <selection activeCell="F1" sqref="F1"/>
    </sheetView>
  </sheetViews>
  <sheetFormatPr defaultRowHeight="15" x14ac:dyDescent="0.25"/>
  <cols>
    <col min="1" max="1" width="15.42578125" customWidth="1"/>
    <col min="2" max="2" width="12" customWidth="1"/>
    <col min="3" max="4" width="11.28515625" customWidth="1"/>
    <col min="5" max="5" width="14.42578125" bestFit="1" customWidth="1"/>
  </cols>
  <sheetData>
    <row r="1" spans="1:5" ht="15.75" thickBot="1" x14ac:dyDescent="0.3">
      <c r="A1" s="1" t="s">
        <v>37</v>
      </c>
      <c r="B1" s="1" t="s">
        <v>38</v>
      </c>
      <c r="C1" s="1" t="s">
        <v>40</v>
      </c>
      <c r="D1" s="1" t="s">
        <v>41</v>
      </c>
      <c r="E1" s="1" t="s">
        <v>42</v>
      </c>
    </row>
    <row r="2" spans="1:5" x14ac:dyDescent="0.25">
      <c r="A2" s="5">
        <v>45017</v>
      </c>
      <c r="B2" t="s">
        <v>157</v>
      </c>
      <c r="C2">
        <v>1</v>
      </c>
      <c r="D2">
        <v>150</v>
      </c>
      <c r="E2" s="14" t="s">
        <v>96</v>
      </c>
    </row>
    <row r="3" spans="1:5" x14ac:dyDescent="0.25">
      <c r="A3" s="5">
        <v>45018</v>
      </c>
      <c r="B3" t="s">
        <v>157</v>
      </c>
      <c r="C3">
        <v>2</v>
      </c>
      <c r="D3">
        <v>150</v>
      </c>
      <c r="E3" s="14" t="s">
        <v>97</v>
      </c>
    </row>
    <row r="4" spans="1:5" x14ac:dyDescent="0.25">
      <c r="A4" s="5">
        <v>45019</v>
      </c>
      <c r="B4" t="s">
        <v>157</v>
      </c>
      <c r="C4">
        <v>3</v>
      </c>
      <c r="D4">
        <v>150</v>
      </c>
      <c r="E4" s="14" t="s">
        <v>98</v>
      </c>
    </row>
    <row r="5" spans="1:5" x14ac:dyDescent="0.25">
      <c r="A5" s="5">
        <v>45020</v>
      </c>
      <c r="B5" t="s">
        <v>157</v>
      </c>
      <c r="C5">
        <v>4</v>
      </c>
      <c r="D5">
        <v>200</v>
      </c>
      <c r="E5" s="14" t="s">
        <v>99</v>
      </c>
    </row>
    <row r="6" spans="1:5" x14ac:dyDescent="0.25">
      <c r="A6" s="5">
        <v>45021</v>
      </c>
      <c r="B6" t="s">
        <v>157</v>
      </c>
      <c r="C6">
        <v>5</v>
      </c>
      <c r="D6">
        <v>200</v>
      </c>
      <c r="E6" s="14" t="s">
        <v>100</v>
      </c>
    </row>
    <row r="7" spans="1:5" x14ac:dyDescent="0.25">
      <c r="A7" s="5">
        <v>45022</v>
      </c>
      <c r="B7" t="s">
        <v>157</v>
      </c>
      <c r="C7">
        <v>6</v>
      </c>
      <c r="D7">
        <v>200</v>
      </c>
      <c r="E7" s="14" t="s">
        <v>101</v>
      </c>
    </row>
    <row r="8" spans="1:5" x14ac:dyDescent="0.25">
      <c r="A8" s="5">
        <v>45023</v>
      </c>
      <c r="B8" t="s">
        <v>157</v>
      </c>
      <c r="C8">
        <v>7</v>
      </c>
      <c r="D8">
        <v>300</v>
      </c>
      <c r="E8" s="14" t="s">
        <v>102</v>
      </c>
    </row>
    <row r="9" spans="1:5" x14ac:dyDescent="0.25">
      <c r="A9" s="5">
        <v>45024</v>
      </c>
      <c r="B9" t="s">
        <v>157</v>
      </c>
      <c r="C9">
        <v>8</v>
      </c>
      <c r="D9">
        <v>300</v>
      </c>
      <c r="E9" s="14" t="s">
        <v>103</v>
      </c>
    </row>
    <row r="10" spans="1:5" x14ac:dyDescent="0.25">
      <c r="A10" s="5">
        <v>45025</v>
      </c>
      <c r="B10" t="s">
        <v>157</v>
      </c>
      <c r="C10">
        <v>9</v>
      </c>
      <c r="D10">
        <v>300</v>
      </c>
      <c r="E10" s="14" t="s">
        <v>104</v>
      </c>
    </row>
    <row r="11" spans="1:5" x14ac:dyDescent="0.25">
      <c r="A11" s="5">
        <v>45026</v>
      </c>
      <c r="B11" t="s">
        <v>157</v>
      </c>
      <c r="C11">
        <v>10</v>
      </c>
      <c r="D11">
        <v>350</v>
      </c>
      <c r="E11" s="14" t="s">
        <v>105</v>
      </c>
    </row>
    <row r="12" spans="1:5" x14ac:dyDescent="0.25">
      <c r="A12" s="5">
        <v>45027</v>
      </c>
      <c r="B12" t="s">
        <v>157</v>
      </c>
      <c r="C12">
        <v>11</v>
      </c>
      <c r="D12">
        <v>350</v>
      </c>
      <c r="E12" s="14" t="s">
        <v>106</v>
      </c>
    </row>
    <row r="13" spans="1:5" x14ac:dyDescent="0.25">
      <c r="A13" s="5">
        <v>45028</v>
      </c>
      <c r="B13" t="s">
        <v>157</v>
      </c>
      <c r="C13">
        <v>12</v>
      </c>
      <c r="D13">
        <v>350</v>
      </c>
      <c r="E13" s="14" t="s">
        <v>107</v>
      </c>
    </row>
    <row r="14" spans="1:5" x14ac:dyDescent="0.25">
      <c r="A14" s="5">
        <v>45029</v>
      </c>
      <c r="B14" t="s">
        <v>157</v>
      </c>
      <c r="C14">
        <v>13</v>
      </c>
      <c r="D14">
        <v>400</v>
      </c>
      <c r="E14" s="14" t="s">
        <v>108</v>
      </c>
    </row>
    <row r="15" spans="1:5" x14ac:dyDescent="0.25">
      <c r="A15" s="5">
        <v>45030</v>
      </c>
      <c r="B15" t="s">
        <v>157</v>
      </c>
      <c r="C15">
        <v>14</v>
      </c>
      <c r="D15">
        <v>400</v>
      </c>
      <c r="E15" s="14" t="s">
        <v>109</v>
      </c>
    </row>
    <row r="16" spans="1:5" x14ac:dyDescent="0.25">
      <c r="A16" s="5">
        <v>45031</v>
      </c>
      <c r="B16" t="s">
        <v>157</v>
      </c>
      <c r="C16">
        <v>15</v>
      </c>
      <c r="D16">
        <v>400</v>
      </c>
      <c r="E16" s="14" t="s">
        <v>110</v>
      </c>
    </row>
    <row r="17" spans="1:5" x14ac:dyDescent="0.25">
      <c r="A17" s="5">
        <v>45032</v>
      </c>
      <c r="B17" t="s">
        <v>157</v>
      </c>
      <c r="C17">
        <v>16</v>
      </c>
      <c r="D17">
        <v>450</v>
      </c>
      <c r="E17" s="14" t="s">
        <v>111</v>
      </c>
    </row>
    <row r="18" spans="1:5" x14ac:dyDescent="0.25">
      <c r="A18" s="5">
        <v>45033</v>
      </c>
      <c r="B18" t="s">
        <v>157</v>
      </c>
      <c r="C18">
        <v>17</v>
      </c>
      <c r="D18">
        <v>450</v>
      </c>
      <c r="E18" s="14" t="s">
        <v>112</v>
      </c>
    </row>
    <row r="19" spans="1:5" x14ac:dyDescent="0.25">
      <c r="A19" s="5">
        <v>45034</v>
      </c>
      <c r="B19" t="s">
        <v>157</v>
      </c>
      <c r="C19">
        <v>18</v>
      </c>
      <c r="D19">
        <v>450</v>
      </c>
      <c r="E19" s="14" t="s">
        <v>113</v>
      </c>
    </row>
    <row r="20" spans="1:5" x14ac:dyDescent="0.25">
      <c r="A20" s="5">
        <v>45035</v>
      </c>
      <c r="B20" t="s">
        <v>157</v>
      </c>
      <c r="C20">
        <v>19</v>
      </c>
      <c r="D20">
        <v>500</v>
      </c>
      <c r="E20" s="14" t="s">
        <v>114</v>
      </c>
    </row>
    <row r="21" spans="1:5" x14ac:dyDescent="0.25">
      <c r="A21" s="5">
        <v>45036</v>
      </c>
      <c r="B21" t="s">
        <v>157</v>
      </c>
      <c r="C21">
        <v>20</v>
      </c>
      <c r="D21">
        <v>500</v>
      </c>
      <c r="E21" s="14" t="s">
        <v>115</v>
      </c>
    </row>
    <row r="22" spans="1:5" x14ac:dyDescent="0.25">
      <c r="A22" s="5">
        <v>45037</v>
      </c>
      <c r="B22" t="s">
        <v>157</v>
      </c>
      <c r="C22">
        <v>21</v>
      </c>
      <c r="D22">
        <v>500</v>
      </c>
      <c r="E22" s="14" t="s">
        <v>116</v>
      </c>
    </row>
    <row r="23" spans="1:5" x14ac:dyDescent="0.25">
      <c r="A23" s="5">
        <v>45038</v>
      </c>
      <c r="B23" t="s">
        <v>157</v>
      </c>
      <c r="C23">
        <v>22</v>
      </c>
      <c r="D23">
        <v>550</v>
      </c>
      <c r="E23" s="14" t="s">
        <v>117</v>
      </c>
    </row>
    <row r="24" spans="1:5" x14ac:dyDescent="0.25">
      <c r="A24" s="5">
        <v>45039</v>
      </c>
      <c r="B24" t="s">
        <v>157</v>
      </c>
      <c r="C24">
        <v>23</v>
      </c>
      <c r="D24">
        <v>600</v>
      </c>
      <c r="E24" s="14" t="s">
        <v>118</v>
      </c>
    </row>
    <row r="25" spans="1:5" x14ac:dyDescent="0.25">
      <c r="A25" s="5">
        <v>45040</v>
      </c>
      <c r="B25" t="s">
        <v>157</v>
      </c>
      <c r="C25">
        <v>24</v>
      </c>
      <c r="D25">
        <v>650</v>
      </c>
      <c r="E25" s="14" t="s">
        <v>119</v>
      </c>
    </row>
    <row r="26" spans="1:5" x14ac:dyDescent="0.25">
      <c r="A26" s="5">
        <v>45041</v>
      </c>
      <c r="B26" t="s">
        <v>157</v>
      </c>
      <c r="C26">
        <v>25</v>
      </c>
      <c r="D26">
        <v>700</v>
      </c>
      <c r="E26" s="14" t="s">
        <v>120</v>
      </c>
    </row>
    <row r="27" spans="1:5" x14ac:dyDescent="0.25">
      <c r="A27" s="5">
        <v>45042</v>
      </c>
      <c r="B27" t="s">
        <v>157</v>
      </c>
      <c r="C27">
        <v>26</v>
      </c>
      <c r="D27">
        <v>750</v>
      </c>
      <c r="E27" s="14" t="s">
        <v>121</v>
      </c>
    </row>
    <row r="28" spans="1:5" x14ac:dyDescent="0.25">
      <c r="A28" s="5">
        <v>45043</v>
      </c>
      <c r="B28" t="s">
        <v>157</v>
      </c>
      <c r="C28">
        <v>27</v>
      </c>
      <c r="D28">
        <v>800</v>
      </c>
      <c r="E28" s="14" t="s">
        <v>122</v>
      </c>
    </row>
    <row r="29" spans="1:5" x14ac:dyDescent="0.25">
      <c r="A29" s="5">
        <v>45044</v>
      </c>
      <c r="B29" t="s">
        <v>157</v>
      </c>
      <c r="C29">
        <v>28</v>
      </c>
      <c r="D29">
        <v>850</v>
      </c>
      <c r="E29" s="14" t="s">
        <v>123</v>
      </c>
    </row>
    <row r="30" spans="1:5" x14ac:dyDescent="0.25">
      <c r="A30" s="5">
        <v>45045</v>
      </c>
      <c r="B30" t="s">
        <v>157</v>
      </c>
      <c r="C30">
        <v>29</v>
      </c>
      <c r="D30">
        <v>900</v>
      </c>
      <c r="E30" s="14" t="s">
        <v>124</v>
      </c>
    </row>
    <row r="31" spans="1:5" x14ac:dyDescent="0.25">
      <c r="A31" s="5">
        <v>45046</v>
      </c>
      <c r="B31" t="s">
        <v>157</v>
      </c>
      <c r="C31">
        <v>30</v>
      </c>
      <c r="D31">
        <v>950</v>
      </c>
      <c r="E31" s="14" t="s">
        <v>125</v>
      </c>
    </row>
    <row r="32" spans="1:5" x14ac:dyDescent="0.25">
      <c r="A32" s="5">
        <v>45047</v>
      </c>
      <c r="B32" t="s">
        <v>157</v>
      </c>
      <c r="C32">
        <v>31</v>
      </c>
      <c r="D32">
        <v>1000</v>
      </c>
      <c r="E32" s="14" t="s">
        <v>126</v>
      </c>
    </row>
    <row r="33" spans="1:5" x14ac:dyDescent="0.25">
      <c r="A33" s="5">
        <v>45048</v>
      </c>
      <c r="B33" t="s">
        <v>157</v>
      </c>
      <c r="C33">
        <v>32</v>
      </c>
      <c r="D33">
        <v>1050</v>
      </c>
      <c r="E33" s="14" t="s">
        <v>127</v>
      </c>
    </row>
    <row r="34" spans="1:5" x14ac:dyDescent="0.25">
      <c r="A34" s="5">
        <v>45049</v>
      </c>
      <c r="B34" t="s">
        <v>157</v>
      </c>
      <c r="C34">
        <v>33</v>
      </c>
      <c r="D34">
        <v>1100</v>
      </c>
      <c r="E34" s="14" t="s">
        <v>128</v>
      </c>
    </row>
    <row r="35" spans="1:5" x14ac:dyDescent="0.25">
      <c r="A35" s="5">
        <v>45050</v>
      </c>
      <c r="B35" t="s">
        <v>157</v>
      </c>
      <c r="C35">
        <v>34</v>
      </c>
      <c r="D35">
        <v>1150</v>
      </c>
      <c r="E35" s="14" t="s">
        <v>129</v>
      </c>
    </row>
    <row r="36" spans="1:5" x14ac:dyDescent="0.25">
      <c r="A36" s="5">
        <v>45051</v>
      </c>
      <c r="B36" t="s">
        <v>157</v>
      </c>
      <c r="C36">
        <v>35</v>
      </c>
      <c r="D36">
        <v>1200</v>
      </c>
      <c r="E36" s="14" t="s">
        <v>130</v>
      </c>
    </row>
    <row r="37" spans="1:5" x14ac:dyDescent="0.25">
      <c r="A37" s="5">
        <v>45052</v>
      </c>
      <c r="B37" t="s">
        <v>157</v>
      </c>
      <c r="C37">
        <v>36</v>
      </c>
      <c r="D37">
        <v>1250</v>
      </c>
      <c r="E37" s="14" t="s">
        <v>131</v>
      </c>
    </row>
    <row r="38" spans="1:5" x14ac:dyDescent="0.25">
      <c r="A38" s="5">
        <v>45053</v>
      </c>
      <c r="B38" t="s">
        <v>157</v>
      </c>
      <c r="C38">
        <v>37</v>
      </c>
      <c r="D38">
        <v>1300</v>
      </c>
      <c r="E38" s="14" t="s">
        <v>132</v>
      </c>
    </row>
    <row r="39" spans="1:5" x14ac:dyDescent="0.25">
      <c r="A39" s="5">
        <v>45054</v>
      </c>
      <c r="B39" t="s">
        <v>157</v>
      </c>
      <c r="C39">
        <v>38</v>
      </c>
      <c r="D39">
        <v>1350</v>
      </c>
      <c r="E39" s="14" t="s">
        <v>133</v>
      </c>
    </row>
    <row r="40" spans="1:5" x14ac:dyDescent="0.25">
      <c r="A40" s="5">
        <v>45055</v>
      </c>
      <c r="B40" t="s">
        <v>157</v>
      </c>
      <c r="C40">
        <v>39</v>
      </c>
      <c r="D40">
        <v>1400</v>
      </c>
      <c r="E40" s="14" t="s">
        <v>134</v>
      </c>
    </row>
    <row r="41" spans="1:5" x14ac:dyDescent="0.25">
      <c r="A41" s="5">
        <v>45056</v>
      </c>
      <c r="B41" t="s">
        <v>157</v>
      </c>
      <c r="C41">
        <v>40</v>
      </c>
      <c r="D41">
        <v>1450</v>
      </c>
      <c r="E41" s="14" t="s">
        <v>135</v>
      </c>
    </row>
    <row r="42" spans="1:5" x14ac:dyDescent="0.25">
      <c r="A42" s="5">
        <v>45057</v>
      </c>
      <c r="B42" t="s">
        <v>157</v>
      </c>
      <c r="C42">
        <v>41</v>
      </c>
      <c r="D42">
        <v>1500</v>
      </c>
      <c r="E42" s="14" t="s">
        <v>136</v>
      </c>
    </row>
    <row r="43" spans="1:5" x14ac:dyDescent="0.25">
      <c r="A43" s="5">
        <v>45058</v>
      </c>
      <c r="B43" t="s">
        <v>157</v>
      </c>
      <c r="C43">
        <v>42</v>
      </c>
      <c r="D43">
        <v>1550</v>
      </c>
      <c r="E43" s="14" t="s">
        <v>137</v>
      </c>
    </row>
    <row r="44" spans="1:5" x14ac:dyDescent="0.25">
      <c r="A44" s="5">
        <v>45059</v>
      </c>
      <c r="B44" t="s">
        <v>157</v>
      </c>
      <c r="C44">
        <v>43</v>
      </c>
      <c r="D44">
        <v>1600</v>
      </c>
      <c r="E44" s="14" t="s">
        <v>138</v>
      </c>
    </row>
    <row r="45" spans="1:5" x14ac:dyDescent="0.25">
      <c r="A45" s="5">
        <v>45060</v>
      </c>
      <c r="B45" t="s">
        <v>157</v>
      </c>
      <c r="C45">
        <v>44</v>
      </c>
      <c r="D45">
        <v>1650</v>
      </c>
      <c r="E45" s="14" t="s">
        <v>139</v>
      </c>
    </row>
    <row r="46" spans="1:5" x14ac:dyDescent="0.25">
      <c r="A46" s="5">
        <v>45061</v>
      </c>
      <c r="B46" t="s">
        <v>157</v>
      </c>
      <c r="C46">
        <v>45</v>
      </c>
      <c r="D46">
        <v>1700</v>
      </c>
      <c r="E46" s="14" t="s">
        <v>140</v>
      </c>
    </row>
    <row r="47" spans="1:5" x14ac:dyDescent="0.25">
      <c r="A47" s="5">
        <v>45062</v>
      </c>
      <c r="B47" t="s">
        <v>157</v>
      </c>
      <c r="C47">
        <v>46</v>
      </c>
      <c r="D47">
        <v>1750</v>
      </c>
      <c r="E47" s="14" t="s">
        <v>141</v>
      </c>
    </row>
    <row r="48" spans="1:5" x14ac:dyDescent="0.25">
      <c r="A48" s="5">
        <v>45063</v>
      </c>
      <c r="B48" t="s">
        <v>157</v>
      </c>
      <c r="C48">
        <v>47</v>
      </c>
      <c r="D48">
        <v>1800</v>
      </c>
      <c r="E48" s="14" t="s">
        <v>142</v>
      </c>
    </row>
    <row r="49" spans="1:5" x14ac:dyDescent="0.25">
      <c r="A49" s="5">
        <v>45064</v>
      </c>
      <c r="B49" t="s">
        <v>157</v>
      </c>
      <c r="C49">
        <v>48</v>
      </c>
      <c r="D49">
        <v>1850</v>
      </c>
      <c r="E49" s="14" t="s">
        <v>143</v>
      </c>
    </row>
    <row r="50" spans="1:5" x14ac:dyDescent="0.25">
      <c r="A50" s="5">
        <v>45065</v>
      </c>
      <c r="B50" t="s">
        <v>157</v>
      </c>
      <c r="C50">
        <v>49</v>
      </c>
      <c r="D50">
        <v>1900</v>
      </c>
      <c r="E50" s="14" t="s">
        <v>144</v>
      </c>
    </row>
    <row r="51" spans="1:5" x14ac:dyDescent="0.25">
      <c r="A51" s="5">
        <v>45066</v>
      </c>
      <c r="B51" t="s">
        <v>157</v>
      </c>
      <c r="C51">
        <v>50</v>
      </c>
      <c r="D51">
        <v>1950</v>
      </c>
      <c r="E51" s="14" t="s">
        <v>145</v>
      </c>
    </row>
    <row r="52" spans="1:5" x14ac:dyDescent="0.25">
      <c r="A52" s="5">
        <v>45067</v>
      </c>
      <c r="B52" t="s">
        <v>157</v>
      </c>
      <c r="C52">
        <v>51</v>
      </c>
      <c r="D52">
        <v>2000</v>
      </c>
      <c r="E52" s="14" t="s">
        <v>146</v>
      </c>
    </row>
    <row r="53" spans="1:5" x14ac:dyDescent="0.25">
      <c r="A53" s="5">
        <v>45068</v>
      </c>
      <c r="B53" t="s">
        <v>157</v>
      </c>
      <c r="C53">
        <v>52</v>
      </c>
      <c r="D53">
        <v>2050</v>
      </c>
      <c r="E53" s="14" t="s">
        <v>147</v>
      </c>
    </row>
    <row r="54" spans="1:5" x14ac:dyDescent="0.25">
      <c r="A54" s="5">
        <v>45069</v>
      </c>
      <c r="B54" t="s">
        <v>157</v>
      </c>
      <c r="C54">
        <v>53</v>
      </c>
      <c r="D54">
        <v>2100</v>
      </c>
      <c r="E54" s="14" t="s">
        <v>148</v>
      </c>
    </row>
    <row r="55" spans="1:5" x14ac:dyDescent="0.25">
      <c r="A55" s="5">
        <v>45070</v>
      </c>
      <c r="B55" t="s">
        <v>157</v>
      </c>
      <c r="C55">
        <v>54</v>
      </c>
      <c r="D55">
        <v>2150</v>
      </c>
      <c r="E55" s="14" t="s">
        <v>149</v>
      </c>
    </row>
    <row r="56" spans="1:5" x14ac:dyDescent="0.25">
      <c r="A56" s="5">
        <v>45071</v>
      </c>
      <c r="B56" t="s">
        <v>157</v>
      </c>
      <c r="C56">
        <v>55</v>
      </c>
      <c r="D56">
        <v>2200</v>
      </c>
      <c r="E56" s="14" t="s">
        <v>150</v>
      </c>
    </row>
    <row r="57" spans="1:5" x14ac:dyDescent="0.25">
      <c r="A57" s="5">
        <v>45072</v>
      </c>
      <c r="B57" t="s">
        <v>157</v>
      </c>
      <c r="C57">
        <v>56</v>
      </c>
      <c r="D57">
        <v>2250</v>
      </c>
      <c r="E57" s="14" t="s">
        <v>151</v>
      </c>
    </row>
    <row r="58" spans="1:5" x14ac:dyDescent="0.25">
      <c r="A58" s="5">
        <v>45073</v>
      </c>
      <c r="B58" t="s">
        <v>157</v>
      </c>
      <c r="C58">
        <v>57</v>
      </c>
      <c r="D58">
        <v>2300</v>
      </c>
      <c r="E58" s="14" t="s">
        <v>152</v>
      </c>
    </row>
    <row r="59" spans="1:5" x14ac:dyDescent="0.25">
      <c r="A59" s="5">
        <v>45074</v>
      </c>
      <c r="B59" t="s">
        <v>157</v>
      </c>
      <c r="C59">
        <v>58</v>
      </c>
      <c r="D59">
        <v>2350</v>
      </c>
      <c r="E59" s="14" t="s">
        <v>153</v>
      </c>
    </row>
    <row r="60" spans="1:5" x14ac:dyDescent="0.25">
      <c r="A60" s="5">
        <v>45075</v>
      </c>
      <c r="B60" t="s">
        <v>157</v>
      </c>
      <c r="C60">
        <v>59</v>
      </c>
      <c r="D60">
        <v>2400</v>
      </c>
      <c r="E60" s="14" t="s">
        <v>154</v>
      </c>
    </row>
    <row r="61" spans="1:5" x14ac:dyDescent="0.25">
      <c r="A61" s="5">
        <v>45076</v>
      </c>
      <c r="B61" t="s">
        <v>157</v>
      </c>
      <c r="C61">
        <v>60</v>
      </c>
      <c r="D61">
        <v>2450</v>
      </c>
      <c r="E61" s="14" t="s">
        <v>155</v>
      </c>
    </row>
    <row r="62" spans="1:5" x14ac:dyDescent="0.25">
      <c r="A62" s="5">
        <v>45077</v>
      </c>
      <c r="B62" t="s">
        <v>157</v>
      </c>
      <c r="C62">
        <v>61</v>
      </c>
      <c r="D62">
        <v>2500</v>
      </c>
      <c r="E62" s="14" t="s">
        <v>156</v>
      </c>
    </row>
    <row r="63" spans="1:5" x14ac:dyDescent="0.25">
      <c r="A63" s="11">
        <v>45025.797607638888</v>
      </c>
      <c r="B63" s="12" t="s">
        <v>50</v>
      </c>
      <c r="C63" s="12">
        <v>50</v>
      </c>
      <c r="D63" s="13">
        <v>7500</v>
      </c>
      <c r="E63" s="9" t="s">
        <v>43</v>
      </c>
    </row>
    <row r="64" spans="1:5" x14ac:dyDescent="0.25">
      <c r="A64" s="11">
        <v>45025.797830555559</v>
      </c>
      <c r="B64" s="12">
        <v>0</v>
      </c>
      <c r="C64" s="12">
        <v>0</v>
      </c>
      <c r="D64" s="13" t="e">
        <v>#N/A</v>
      </c>
      <c r="E64" s="9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E20"/>
  <sheetViews>
    <sheetView workbookViewId="0">
      <selection activeCell="A2" sqref="A2"/>
    </sheetView>
  </sheetViews>
  <sheetFormatPr defaultRowHeight="15" x14ac:dyDescent="0.25"/>
  <cols>
    <col min="1" max="1" width="15.42578125" customWidth="1"/>
    <col min="2" max="2" width="17.85546875" customWidth="1"/>
    <col min="3" max="3" width="16.42578125" customWidth="1"/>
    <col min="4" max="4" width="16.28515625" customWidth="1"/>
    <col min="5" max="5" width="17.42578125" customWidth="1"/>
  </cols>
  <sheetData>
    <row r="1" spans="1:3" s="19" customFormat="1" ht="23.25" x14ac:dyDescent="0.25">
      <c r="A1" s="20" t="s">
        <v>158</v>
      </c>
    </row>
    <row r="3" spans="1:3" x14ac:dyDescent="0.25">
      <c r="A3" s="18" t="s">
        <v>37</v>
      </c>
      <c r="B3" s="2">
        <f ca="1">NOW()</f>
        <v>45036.552023379627</v>
      </c>
      <c r="C3" s="8"/>
    </row>
    <row r="4" spans="1:3" s="15" customFormat="1" ht="6.75" customHeight="1" x14ac:dyDescent="0.25"/>
    <row r="5" spans="1:3" x14ac:dyDescent="0.25">
      <c r="A5" s="16" t="s">
        <v>164</v>
      </c>
      <c r="B5" s="3" t="s">
        <v>96</v>
      </c>
    </row>
    <row r="6" spans="1:3" s="15" customFormat="1" ht="6.75" customHeight="1" x14ac:dyDescent="0.25"/>
    <row r="7" spans="1:3" x14ac:dyDescent="0.25">
      <c r="A7" s="16" t="s">
        <v>163</v>
      </c>
      <c r="B7" s="4" t="s">
        <v>50</v>
      </c>
    </row>
    <row r="8" spans="1:3" s="15" customFormat="1" ht="6.75" customHeight="1" x14ac:dyDescent="0.25"/>
    <row r="9" spans="1:3" x14ac:dyDescent="0.25">
      <c r="A9" s="16" t="s">
        <v>39</v>
      </c>
      <c r="B9" s="4">
        <v>10</v>
      </c>
    </row>
    <row r="10" spans="1:3" s="15" customFormat="1" ht="6.75" customHeight="1" x14ac:dyDescent="0.25"/>
    <row r="11" spans="1:3" ht="14.25" customHeight="1" x14ac:dyDescent="0.25">
      <c r="A11" s="17" t="s">
        <v>1</v>
      </c>
      <c r="B11">
        <f>VLOOKUP(B7,Прайс[],3,0)</f>
        <v>150</v>
      </c>
    </row>
    <row r="12" spans="1:3" s="15" customFormat="1" ht="6.75" customHeight="1" x14ac:dyDescent="0.25"/>
    <row r="13" spans="1:3" x14ac:dyDescent="0.25">
      <c r="A13" s="17" t="s">
        <v>41</v>
      </c>
      <c r="B13">
        <f>B11*B9</f>
        <v>1500</v>
      </c>
    </row>
    <row r="20" spans="1:5" x14ac:dyDescent="0.25">
      <c r="A20" s="6">
        <f ca="1">B3</f>
        <v>45036.552023379627</v>
      </c>
      <c r="B20" s="7" t="str">
        <f>B7</f>
        <v>Транспорт_1</v>
      </c>
      <c r="C20" s="7">
        <f>B9</f>
        <v>10</v>
      </c>
      <c r="D20" s="10">
        <f>B13</f>
        <v>1500</v>
      </c>
      <c r="E20" s="6" t="str">
        <f>B5</f>
        <v>Иванов_1</v>
      </c>
    </row>
  </sheetData>
  <dataValidations count="2">
    <dataValidation type="list" allowBlank="1" showInputMessage="1" showErrorMessage="1" sqref="B7" xr:uid="{00000000-0002-0000-0300-000000000000}">
      <formula1>INDIRECT("Прайс[Наименование]")</formula1>
    </dataValidation>
    <dataValidation type="list" allowBlank="1" showInputMessage="1" showErrorMessage="1" sqref="B5" xr:uid="{00000000-0002-0000-0300-000001000000}">
      <formula1>INDIRECT("Клиенты[Клиент]")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Add_Sell">
                <anchor moveWithCells="1" sizeWithCells="1">
                  <from>
                    <xdr:col>1</xdr:col>
                    <xdr:colOff>0</xdr:colOff>
                    <xdr:row>14</xdr:row>
                    <xdr:rowOff>142875</xdr:rowOff>
                  </from>
                  <to>
                    <xdr:col>3</xdr:col>
                    <xdr:colOff>600075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F15"/>
  <sheetViews>
    <sheetView view="pageBreakPreview" zoomScaleNormal="100" zoomScaleSheetLayoutView="100" workbookViewId="0"/>
  </sheetViews>
  <sheetFormatPr defaultRowHeight="15" x14ac:dyDescent="0.25"/>
  <cols>
    <col min="1" max="1" width="4.28515625" customWidth="1"/>
    <col min="2" max="2" width="17.140625" customWidth="1"/>
    <col min="3" max="3" width="21.42578125" customWidth="1"/>
    <col min="4" max="4" width="15.7109375" customWidth="1"/>
    <col min="5" max="5" width="17.140625" customWidth="1"/>
    <col min="6" max="6" width="4.28515625" customWidth="1"/>
  </cols>
  <sheetData>
    <row r="1" spans="1:6" x14ac:dyDescent="0.25">
      <c r="A1" s="30"/>
      <c r="B1" s="30"/>
      <c r="C1" s="30"/>
      <c r="D1" s="30"/>
      <c r="E1" s="30"/>
      <c r="F1" s="30"/>
    </row>
    <row r="2" spans="1:6" ht="31.5" x14ac:dyDescent="0.25">
      <c r="A2" s="30"/>
      <c r="B2" s="39" t="s">
        <v>171</v>
      </c>
      <c r="C2" s="35">
        <v>1</v>
      </c>
      <c r="D2" s="34" t="s">
        <v>47</v>
      </c>
      <c r="E2" s="40">
        <f ca="1">TODAY()</f>
        <v>45036</v>
      </c>
      <c r="F2" s="30"/>
    </row>
    <row r="3" spans="1:6" x14ac:dyDescent="0.25">
      <c r="A3" s="30"/>
      <c r="B3" s="30"/>
      <c r="C3" s="30"/>
      <c r="D3" s="30"/>
      <c r="E3" s="30"/>
      <c r="F3" s="30"/>
    </row>
    <row r="4" spans="1:6" x14ac:dyDescent="0.25">
      <c r="A4" s="30"/>
      <c r="B4" s="37" t="s">
        <v>49</v>
      </c>
      <c r="C4" s="43" t="str">
        <f>INDEX(Продажи[Клиент],C2)</f>
        <v>Иванов_1</v>
      </c>
      <c r="D4" s="43"/>
      <c r="E4" s="30"/>
      <c r="F4" s="30"/>
    </row>
    <row r="5" spans="1:6" ht="6.75" customHeight="1" x14ac:dyDescent="0.25">
      <c r="A5" s="30"/>
      <c r="B5" s="30"/>
      <c r="C5" s="30"/>
      <c r="D5" s="30"/>
      <c r="E5" s="30"/>
      <c r="F5" s="30"/>
    </row>
    <row r="6" spans="1:6" x14ac:dyDescent="0.25">
      <c r="A6" s="30"/>
      <c r="B6" s="37" t="s">
        <v>48</v>
      </c>
      <c r="C6" s="43" t="str">
        <f>VLOOKUP(C4,Клиенты[],2,0)</f>
        <v>Москва</v>
      </c>
      <c r="D6" s="43"/>
      <c r="E6" s="30"/>
      <c r="F6" s="30"/>
    </row>
    <row r="7" spans="1:6" ht="6.75" customHeight="1" x14ac:dyDescent="0.25">
      <c r="A7" s="30"/>
      <c r="B7" s="30"/>
      <c r="C7" s="30"/>
      <c r="D7" s="30"/>
      <c r="E7" s="30"/>
      <c r="F7" s="30"/>
    </row>
    <row r="8" spans="1:6" x14ac:dyDescent="0.25">
      <c r="A8" s="30"/>
      <c r="B8" s="37" t="s">
        <v>172</v>
      </c>
      <c r="C8" s="43" t="str">
        <f>VLOOKUP(C4,Клиенты[],3,0)</f>
        <v>Центр</v>
      </c>
      <c r="D8" s="43"/>
      <c r="E8" s="30"/>
      <c r="F8" s="30"/>
    </row>
    <row r="9" spans="1:6" x14ac:dyDescent="0.25">
      <c r="A9" s="30"/>
      <c r="B9" s="30"/>
      <c r="C9" s="30"/>
      <c r="D9" s="30"/>
      <c r="E9" s="30"/>
      <c r="F9" s="30"/>
    </row>
    <row r="10" spans="1:6" x14ac:dyDescent="0.25">
      <c r="A10" s="30"/>
      <c r="B10" s="41" t="s">
        <v>0</v>
      </c>
      <c r="C10" s="41"/>
      <c r="D10" s="38" t="s">
        <v>39</v>
      </c>
      <c r="E10" s="38" t="s">
        <v>173</v>
      </c>
      <c r="F10" s="30"/>
    </row>
    <row r="11" spans="1:6" x14ac:dyDescent="0.25">
      <c r="A11" s="30"/>
      <c r="B11" s="42" t="str">
        <f>INDEX(Продажи[Товар],C2)</f>
        <v>Билет</v>
      </c>
      <c r="C11" s="42"/>
      <c r="D11" s="36">
        <f>INDEX(Продажи[Кол-во],C2)</f>
        <v>1</v>
      </c>
      <c r="E11" s="36">
        <f>INDEX(Продажи[Стоимость],C2)</f>
        <v>150</v>
      </c>
      <c r="F11" s="30"/>
    </row>
    <row r="12" spans="1:6" x14ac:dyDescent="0.25">
      <c r="A12" s="30"/>
      <c r="B12" s="30"/>
      <c r="C12" s="30"/>
      <c r="D12" s="30"/>
      <c r="E12" s="30"/>
      <c r="F12" s="30"/>
    </row>
    <row r="13" spans="1:6" x14ac:dyDescent="0.25">
      <c r="A13" s="30"/>
      <c r="B13" s="30"/>
      <c r="C13" s="30"/>
      <c r="D13" s="30"/>
      <c r="E13" s="30"/>
      <c r="F13" s="30"/>
    </row>
    <row r="14" spans="1:6" x14ac:dyDescent="0.25">
      <c r="A14" s="30"/>
      <c r="B14" s="30"/>
      <c r="C14" s="30"/>
      <c r="D14" s="30"/>
      <c r="E14" s="30"/>
      <c r="F14" s="30"/>
    </row>
    <row r="15" spans="1:6" x14ac:dyDescent="0.25">
      <c r="A15" s="30"/>
      <c r="B15" s="30"/>
      <c r="C15" s="30"/>
      <c r="D15" s="30"/>
      <c r="E15" s="30"/>
      <c r="F15" s="30"/>
    </row>
  </sheetData>
  <mergeCells count="5">
    <mergeCell ref="B10:C10"/>
    <mergeCell ref="B11:C11"/>
    <mergeCell ref="C8:D8"/>
    <mergeCell ref="C6:D6"/>
    <mergeCell ref="C4:D4"/>
  </mergeCells>
  <pageMargins left="0.7" right="0.7" top="0.75" bottom="0.75" header="0.3" footer="0.3"/>
  <pageSetup paperSize="9" scale="9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Справочник</vt:lpstr>
      <vt:lpstr>Сводная</vt:lpstr>
      <vt:lpstr>Продажи</vt:lpstr>
      <vt:lpstr>Форма ввода</vt:lpstr>
      <vt:lpstr>Счёт</vt:lpstr>
      <vt:lpstr>Счёт!Область_печати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 Pavlov</dc:creator>
  <cp:lastModifiedBy>Дайяван</cp:lastModifiedBy>
  <dcterms:created xsi:type="dcterms:W3CDTF">2016-09-05T05:36:02Z</dcterms:created>
  <dcterms:modified xsi:type="dcterms:W3CDTF">2023-04-20T10:14:58Z</dcterms:modified>
</cp:coreProperties>
</file>